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Petroleum-Apps\poes\controller\"/>
    </mc:Choice>
  </mc:AlternateContent>
  <xr:revisionPtr revIDLastSave="0" documentId="13_ncr:1_{67FBA721-5555-4AA2-83B2-436F2A1E2DE4}" xr6:coauthVersionLast="47" xr6:coauthVersionMax="47" xr10:uidLastSave="{00000000-0000-0000-0000-000000000000}"/>
  <bookViews>
    <workbookView xWindow="-108" yWindow="-108" windowWidth="23256" windowHeight="12720" tabRatio="500" activeTab="1" xr2:uid="{00000000-000D-0000-FFFF-FFFF00000000}"/>
  </bookViews>
  <sheets>
    <sheet name="Summary" sheetId="1" r:id="rId1"/>
    <sheet name="Results" sheetId="3" r:id="rId2"/>
    <sheet name="_xlwings.conf" sheetId="2" r:id="rId3"/>
  </sheets>
  <definedNames>
    <definedName name="det_values" localSheetId="0">Summary!$B$3:$B$7</definedName>
    <definedName name="df_poes" localSheetId="0">Summary!$A$2:$H$7</definedName>
    <definedName name="poes" localSheetId="0">Summary!$B$11</definedName>
    <definedName name="Realizations" localSheetId="0">Summary!$E$11</definedName>
    <definedName name="Seed" localSheetId="0">Summary!$E$12</definedName>
    <definedName name="stoc_array" localSheetId="1">Results!$A$1</definedName>
    <definedName name="stoc_poes" localSheetId="0">Summary!$H$11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<sst xmlns="http://schemas.openxmlformats.org/spreadsheetml/2006/main" count="59" uniqueCount="44">
  <si>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</si>
  <si>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</si>
  <si>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</si>
  <si>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</si>
  <si>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</si>
  <si>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</si>
  <si>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</si>
  <si>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</si>
  <si>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</si>
  <si>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</si>
  <si>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</si>
  <si>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</si>
  <si>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</si>
  <si>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</si>
  <si>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</si>
  <si>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STOIIP CALCULATION</t>
  </si>
  <si>
    <t>Variables</t>
  </si>
  <si>
    <t>Area</t>
  </si>
  <si>
    <t>H</t>
  </si>
  <si>
    <t>Poro</t>
  </si>
  <si>
    <t>Swi</t>
  </si>
  <si>
    <t>Boi</t>
  </si>
  <si>
    <t>Det Values</t>
  </si>
  <si>
    <t>Distributions</t>
  </si>
  <si>
    <t>Loc</t>
  </si>
  <si>
    <t>Scale</t>
  </si>
  <si>
    <t>Sc</t>
  </si>
  <si>
    <t>Lim min</t>
  </si>
  <si>
    <t>Lim max</t>
  </si>
  <si>
    <t>Deterministic STOIIP</t>
  </si>
  <si>
    <t>STB</t>
  </si>
  <si>
    <t>Media Stochastic STOIIP</t>
  </si>
  <si>
    <t>P90 Stochastic STOIIP</t>
  </si>
  <si>
    <t>P50 Stochastic STOIIP</t>
  </si>
  <si>
    <t>P10 Stochastic STOIIP</t>
  </si>
  <si>
    <t>STD Stochastic STOIIP</t>
  </si>
  <si>
    <t># Realizations</t>
  </si>
  <si>
    <t>Seed</t>
  </si>
  <si>
    <t>Normal</t>
  </si>
  <si>
    <t>Lognormal</t>
  </si>
  <si>
    <t>Exponential</t>
  </si>
  <si>
    <t>Triangular</t>
  </si>
  <si>
    <t>Uniforme</t>
  </si>
  <si>
    <t>stoc_poes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</si>
</sst>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/>
    </xf>
    <xf numFmtId="0" fontId="3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</xdr:colOff>
          <xdr:row>12</xdr:row>
          <xdr:rowOff>480060</xdr:rowOff>
        </xdr:from>
        <xdr:to>
          <xdr:col>2</xdr:col>
          <xdr:colOff>899160</xdr:colOff>
          <xdr:row>13</xdr:row>
          <xdr:rowOff>487680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0</xdr:colOff>
      <xdr:row>0</xdr:row>
      <xdr:rowOff>0</xdr:rowOff>
    </xdr:from>
    <xdr:to>
      <xdr:col>17</xdr:col>
      <xdr:colOff>455689</xdr:colOff>
      <xdr:row>14</xdr:row>
      <xdr:rowOff>537983</xdr:rowOff>
    </xdr:to>
    <xdr:pic>
      <xdr:nvPicPr>
        <xdr:cNvPr id="3" name="Histogram">
          <a:extLst>
            <a:ext uri="{FF2B5EF4-FFF2-40B4-BE49-F238E27FC236}">
              <a16:creationId xmlns:a16="http://schemas.microsoft.com/office/drawing/2014/main" id="{A4B5CE9A-9823-78E9-77FB-68430D678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9640" y="0"/>
          <a:ext cx="6323089" cy="53309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6"/>
  <sheetViews>
    <sheetView showGridLines="0" zoomScale="60" zoomScaleNormal="60" workbookViewId="0">
      <selection activeCell="W13" sqref="W13"/>
    </sheetView>
  </sheetViews>
  <sheetFormatPr defaultColWidth="11" defaultRowHeight="15.6" x14ac:dyDescent="0.3"/>
  <cols>
    <col min="1" max="1" width="14.19921875" customWidth="1"/>
    <col min="2" max="2" width="13.296875" bestFit="1" customWidth="1"/>
    <col min="3" max="3" width="15.69921875" bestFit="1" customWidth="1"/>
    <col min="4" max="5" width="12.5" bestFit="1" customWidth="1"/>
    <col min="11" max="11" width="0" hidden="1" customWidth="1"/>
  </cols>
  <sheetData>
    <row r="1" spans="1:11" ht="22.2" thickTop="1" thickBot="1" x14ac:dyDescent="0.45">
      <c r="A1" s="11" t="s">
        <v>15</v>
      </c>
      <c r="B1" s="11"/>
      <c r="C1" s="11"/>
      <c r="D1" s="11"/>
      <c r="E1" s="11"/>
      <c r="F1" s="11"/>
      <c r="G1" s="11"/>
      <c r="H1" s="11"/>
    </row>
    <row r="2" spans="1:11" ht="19.2" thickTop="1" thickBot="1" x14ac:dyDescent="0.35">
      <c r="A2" s="5" t="s">
        <v>16</v>
      </c>
      <c r="B2" s="5" t="s">
        <v>22</v>
      </c>
      <c r="C2" s="5" t="s">
        <v>23</v>
      </c>
      <c r="D2" s="5" t="s">
        <v>24</v>
      </c>
      <c r="E2" s="5" t="s">
        <v>25</v>
      </c>
      <c r="F2" s="5" t="s">
        <v>26</v>
      </c>
      <c r="G2" s="5" t="s">
        <v>27</v>
      </c>
      <c r="H2" s="5" t="s">
        <v>28</v>
      </c>
      <c r="K2" t="s">
        <v>38</v>
      </c>
    </row>
    <row r="3" spans="1:11" ht="19.2" thickTop="1" thickBot="1" x14ac:dyDescent="0.35">
      <c r="A3" s="3" t="s">
        <v>17</v>
      </c>
      <c r="B3" s="4">
        <v>550</v>
      </c>
      <c r="C3" s="4" t="s">
        <v>41</v>
      </c>
      <c r="D3" s="4">
        <v>400</v>
      </c>
      <c r="E3" s="4">
        <v>600</v>
      </c>
      <c r="F3" s="4">
        <v>0.3</v>
      </c>
      <c r="G3" s="4">
        <v>50</v>
      </c>
      <c r="H3" s="4">
        <v>180</v>
      </c>
      <c r="K3" t="s">
        <v>39</v>
      </c>
    </row>
    <row r="4" spans="1:11" ht="19.2" thickTop="1" thickBot="1" x14ac:dyDescent="0.35">
      <c r="A4" s="3" t="s">
        <v>18</v>
      </c>
      <c r="B4" s="4">
        <v>55</v>
      </c>
      <c r="C4" s="4" t="s">
        <v>38</v>
      </c>
      <c r="D4" s="4">
        <v>30</v>
      </c>
      <c r="E4" s="4">
        <v>90</v>
      </c>
      <c r="F4" s="4">
        <v>0.1</v>
      </c>
      <c r="G4" s="4">
        <v>10</v>
      </c>
      <c r="H4" s="4">
        <v>80</v>
      </c>
      <c r="K4" t="s">
        <v>40</v>
      </c>
    </row>
    <row r="5" spans="1:11" ht="19.2" thickTop="1" thickBot="1" x14ac:dyDescent="0.35">
      <c r="A5" s="3" t="s">
        <v>19</v>
      </c>
      <c r="B5" s="4">
        <v>0.255</v>
      </c>
      <c r="C5" s="4" t="s">
        <v>39</v>
      </c>
      <c r="D5" s="4">
        <v>0</v>
      </c>
      <c r="E5" s="4">
        <v>0.2</v>
      </c>
      <c r="F5" s="4">
        <v>0.8</v>
      </c>
      <c r="G5" s="4">
        <v>0</v>
      </c>
      <c r="H5" s="4">
        <v>1</v>
      </c>
      <c r="K5" t="s">
        <v>41</v>
      </c>
    </row>
    <row r="6" spans="1:11" ht="19.2" thickTop="1" thickBot="1" x14ac:dyDescent="0.35">
      <c r="A6" s="3" t="s">
        <v>20</v>
      </c>
      <c r="B6" s="4">
        <v>0.26</v>
      </c>
      <c r="C6" s="4" t="s">
        <v>38</v>
      </c>
      <c r="D6" s="4">
        <v>0.4</v>
      </c>
      <c r="E6" s="4">
        <v>0.2</v>
      </c>
      <c r="F6" s="4"/>
      <c r="G6" s="4">
        <v>0</v>
      </c>
      <c r="H6" s="4">
        <v>1</v>
      </c>
      <c r="K6" t="s">
        <v>42</v>
      </c>
    </row>
    <row r="7" spans="1:11" ht="19.2" thickTop="1" thickBot="1" x14ac:dyDescent="0.35">
      <c r="A7" s="3" t="s">
        <v>21</v>
      </c>
      <c r="B7" s="4">
        <v>1.27</v>
      </c>
      <c r="C7" s="4" t="s">
        <v>40</v>
      </c>
      <c r="D7" s="4">
        <v>1</v>
      </c>
      <c r="E7" s="4">
        <v>0.2</v>
      </c>
      <c r="F7" s="4"/>
      <c r="G7" s="4">
        <v>1</v>
      </c>
      <c r="H7" s="4">
        <v>2</v>
      </c>
    </row>
    <row r="8" spans="1:11" ht="16.2" thickTop="1" x14ac:dyDescent="0.3"/>
    <row r="10" spans="1:11" ht="16.2" thickBot="1" x14ac:dyDescent="0.35"/>
    <row r="11" spans="1:11" ht="48" thickTop="1" thickBot="1" x14ac:dyDescent="0.35">
      <c r="A11" s="6" t="s">
        <v>29</v>
      </c>
      <c r="B11" s="4">
        <v>34869308.385826766</v>
      </c>
      <c r="C11" s="9" t="s">
        <v>30</v>
      </c>
      <c r="D11" s="7" t="s">
        <v>36</v>
      </c>
      <c r="E11" s="4">
        <v>1000</v>
      </c>
      <c r="G11" s="8" t="s">
        <v>31</v>
      </c>
      <c r="H11" s="4">
        <v>26828961.881229188</v>
      </c>
      <c r="I11" s="9" t="s">
        <v>30</v>
      </c>
    </row>
    <row r="12" spans="1:11" ht="48" thickTop="1" thickBot="1" x14ac:dyDescent="0.35">
      <c r="D12" s="7" t="s">
        <v>37</v>
      </c>
      <c r="E12" s="4">
        <v>21</v>
      </c>
      <c r="G12" s="8" t="s">
        <v>35</v>
      </c>
      <c r="H12" s="4">
        <v>26906514.51488151</v>
      </c>
      <c r="I12" s="9" t="s">
        <v>30</v>
      </c>
    </row>
    <row r="13" spans="1:11" ht="48" thickTop="1" thickBot="1" x14ac:dyDescent="0.35">
      <c r="G13" s="8" t="s">
        <v>32</v>
      </c>
      <c r="H13" s="4">
        <v>67459012.352625906</v>
      </c>
      <c r="I13" s="9" t="s">
        <v>30</v>
      </c>
    </row>
    <row r="14" spans="1:11" ht="48" thickTop="1" thickBot="1" x14ac:dyDescent="0.35">
      <c r="G14" s="8" t="s">
        <v>33</v>
      </c>
      <c r="H14" s="4">
        <v>14565760.739264261</v>
      </c>
      <c r="I14" s="9" t="s">
        <v>30</v>
      </c>
    </row>
    <row r="15" spans="1:11" ht="48" thickTop="1" thickBot="1" x14ac:dyDescent="0.35">
      <c r="G15" s="8" t="s">
        <v>34</v>
      </c>
      <c r="H15" s="4">
        <v>2420335.3439428555</v>
      </c>
      <c r="I15" s="9" t="s">
        <v>30</v>
      </c>
    </row>
    <row r="16" spans="1:11" ht="16.2" thickTop="1" x14ac:dyDescent="0.3"/>
  </sheetData>
  <mergeCells count="1">
    <mergeCell ref="A1:H1"/>
  </mergeCells>
  <dataValidations count="2">
    <dataValidation type="list" allowBlank="1" showInputMessage="1" showErrorMessage="1" sqref="C7 C3:C5" xr:uid="{CCDB4E6B-182F-42CC-9F2C-C6F4F2B7C2A0}">
      <formula1>$K$2:$K$6</formula1>
    </dataValidation>
    <dataValidation type="list" allowBlank="1" showInputMessage="1" showErrorMessage="1" sqref="C6" xr:uid="{C16D6123-A7DE-4B4A-8BA6-CFF4BC2A0997}">
      <formula1>$K$2:$K$5</formula1>
    </dataValidation>
  </dataValidations>
  <pageMargins left="0.75" right="0.75" top="1" bottom="1" header="0.5" footer="0.5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Call">
                <anchor moveWithCells="1" sizeWithCells="1">
                  <from>
                    <xdr:col>1</xdr:col>
                    <xdr:colOff>236220</xdr:colOff>
                    <xdr:row>12</xdr:row>
                    <xdr:rowOff>480060</xdr:rowOff>
                  </from>
                  <to>
                    <xdr:col>2</xdr:col>
                    <xdr:colOff>899160</xdr:colOff>
                    <xdr:row>13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4D734-BE38-4154-9B77-8BF6AAF01089}">
  <sheetPr codeName="Sheet3"/>
  <dimension ref="A1:F1"/>
  <sheetViews>
    <sheetView tabSelected="1" workbookViewId="0">
      <selection activeCell="L6" sqref="L6"/>
    </sheetView>
  </sheetViews>
  <sheetFormatPr defaultRowHeight="15.6" x14ac:dyDescent="0.3"/>
  <cols>
    <col min="6" max="6" width="11.8984375" bestFit="1" customWidth="1"/>
  </cols>
  <sheetData>
    <row r="1" spans="1:6" x14ac:dyDescent="0.3">
      <c r="A1" s="10" t="s">
        <v>17</v>
      </c>
      <c r="B1" s="10" t="s">
        <v>18</v>
      </c>
      <c r="C1" s="10" t="s">
        <v>19</v>
      </c>
      <c r="D1" s="10" t="s">
        <v>20</v>
      </c>
      <c r="E1" s="10" t="s">
        <v>21</v>
      </c>
      <c r="F1" s="10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Summary</vt:lpstr>
      <vt:lpstr>Results</vt:lpstr>
      <vt:lpstr>_xlwings.conf</vt:lpstr>
      <vt:lpstr>Summary!det_values</vt:lpstr>
      <vt:lpstr>Summary!df_poes</vt:lpstr>
      <vt:lpstr>Summary!poes</vt:lpstr>
      <vt:lpstr>Summary!Realizations</vt:lpstr>
      <vt:lpstr>Summary!Seed</vt:lpstr>
      <vt:lpstr>Results!stoc_array</vt:lpstr>
      <vt:lpstr>Summary!stoc_poes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2022-11-09T16:04:55Z</dcterms:modified>
</cp:coreProperties>
</file>